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ini Ott\Dropbox\2024088 - Delta Fast Track Planning Services\01-Management\5-Meetings\Focus Group Meetings\"/>
    </mc:Choice>
  </mc:AlternateContent>
  <xr:revisionPtr revIDLastSave="0" documentId="8_{D05F8FC2-E8F6-45E3-9A99-74F4C1AD690B}" xr6:coauthVersionLast="47" xr6:coauthVersionMax="47" xr10:uidLastSave="{00000000-0000-0000-0000-000000000000}"/>
  <bookViews>
    <workbookView xWindow="14295" yWindow="0" windowWidth="14610" windowHeight="15585" xr2:uid="{E644ADF5-C70B-E240-9651-905C44887E00}"/>
  </bookViews>
  <sheets>
    <sheet name="density-bonus-calcul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</calcChain>
</file>

<file path=xl/sharedStrings.xml><?xml version="1.0" encoding="utf-8"?>
<sst xmlns="http://schemas.openxmlformats.org/spreadsheetml/2006/main" count="87" uniqueCount="87">
  <si>
    <t>Item</t>
  </si>
  <si>
    <t>Value</t>
  </si>
  <si>
    <t>Notes</t>
  </si>
  <si>
    <t>Base Project Size (units)</t>
  </si>
  <si>
    <t>Original project</t>
  </si>
  <si>
    <t>Density Bonus Percentage</t>
  </si>
  <si>
    <t>Per current proposal</t>
  </si>
  <si>
    <t>Bonus Units Granted</t>
  </si>
  <si>
    <t>20% of 20 units</t>
  </si>
  <si>
    <t>Total Units After Bonus</t>
  </si>
  <si>
    <t>Affordable Requirement</t>
  </si>
  <si>
    <t>Of bonus units only</t>
  </si>
  <si>
    <t>Developer keeps these</t>
  </si>
  <si>
    <t>FINANCIAL INCENTIVES</t>
  </si>
  <si>
    <t>Use Tax Rebate (50%)</t>
  </si>
  <si>
    <t>Park Fees Waived</t>
  </si>
  <si>
    <t>Total Financial Incentives</t>
  </si>
  <si>
    <t>Sum of above</t>
  </si>
  <si>
    <t>DENSITY BONUS VALUE</t>
  </si>
  <si>
    <t>Construction Cost per Unit</t>
  </si>
  <si>
    <t>Estimated (conservative)</t>
  </si>
  <si>
    <t>Land/Development Value per Unit</t>
  </si>
  <si>
    <t>Estimated</t>
  </si>
  <si>
    <t>Total Value per Bonus Unit</t>
  </si>
  <si>
    <t>Construction + land value</t>
  </si>
  <si>
    <t>Total Density Bonus Value (4 units)</t>
  </si>
  <si>
    <t>4 √ó $165,000</t>
  </si>
  <si>
    <t>TOTAL PACKAGE VALUE</t>
  </si>
  <si>
    <t>Financial Incentives</t>
  </si>
  <si>
    <t>Density Bonus Value</t>
  </si>
  <si>
    <t>Fast Track Time Savings</t>
  </si>
  <si>
    <t>Reduced carrying costs</t>
  </si>
  <si>
    <t>Total Public Investment</t>
  </si>
  <si>
    <t>Sum of all incentives</t>
  </si>
  <si>
    <t>COST ANALYSIS</t>
  </si>
  <si>
    <t>Total Investment</t>
  </si>
  <si>
    <t>City's total contribution</t>
  </si>
  <si>
    <t>Affordable Units Gained</t>
  </si>
  <si>
    <t>From density bonus</t>
  </si>
  <si>
    <t>Cost per Affordable Unit</t>
  </si>
  <si>
    <t>$794,400 √∑ 2</t>
  </si>
  <si>
    <t>Affordability Term (years)</t>
  </si>
  <si>
    <t>Current proposal</t>
  </si>
  <si>
    <t>Cost per Unit per Year</t>
  </si>
  <si>
    <t>$397,200 √∑ 5 years</t>
  </si>
  <si>
    <t>20-YEAR PROJECTION</t>
  </si>
  <si>
    <t>Times Repeated in 20 Years</t>
  </si>
  <si>
    <t>Every 5 years</t>
  </si>
  <si>
    <t>Total 20-Year Cost</t>
  </si>
  <si>
    <t>$794,400 √ó 4</t>
  </si>
  <si>
    <t>Units Maintained</t>
  </si>
  <si>
    <t>Same 2 units recycled</t>
  </si>
  <si>
    <t>20-Year Cost per Unit</t>
  </si>
  <si>
    <t>$3,177,600 √∑ 2</t>
  </si>
  <si>
    <t>DEVELOPER ECONOMICS</t>
  </si>
  <si>
    <t>Developer Benefits</t>
  </si>
  <si>
    <t>All incentives</t>
  </si>
  <si>
    <t>Lost Rent (per unit/month)</t>
  </si>
  <si>
    <t>Affordable vs market</t>
  </si>
  <si>
    <t>Lost Rent Total (2 units √ó 20 years)</t>
  </si>
  <si>
    <t>$400 √ó 2 √ó 12 √ó 20</t>
  </si>
  <si>
    <t>Developer Net Gain</t>
  </si>
  <si>
    <t>Benefits minus lost rent</t>
  </si>
  <si>
    <t>ALTERNATIVE SCENARIO</t>
  </si>
  <si>
    <t>Cost to Purchase Unit Outright</t>
  </si>
  <si>
    <t>Estimated market price</t>
  </si>
  <si>
    <t>Units Could Purchase with $794</t>
  </si>
  <si>
    <t>$794,400 √∑ $250,000</t>
  </si>
  <si>
    <t>These Would Be Permanent</t>
  </si>
  <si>
    <t>Forever</t>
  </si>
  <si>
    <t>Not 5-year terms</t>
  </si>
  <si>
    <t>Building Permit Fees Waived</t>
  </si>
  <si>
    <t>Planning Application Fees Waived</t>
  </si>
  <si>
    <t>See 2025 fee schedule</t>
  </si>
  <si>
    <t>N/A for apartment example (would only apply to PUD)</t>
  </si>
  <si>
    <t>24-unit apartment on 4" combo domestic/fire tap example = $86,100+($1,500 x 23)+154,000+($2,600 x 23)</t>
  </si>
  <si>
    <t>50% of 4 bonus units + 25% of 20 original units</t>
  </si>
  <si>
    <t>Total Affordable Units</t>
  </si>
  <si>
    <t>Total Market Rate Units</t>
  </si>
  <si>
    <t>Affordability Term</t>
  </si>
  <si>
    <t>15 yr min, but 30 yrs proposed</t>
  </si>
  <si>
    <t>30 Yrs</t>
  </si>
  <si>
    <t>Tap &amp; System Imprv Fee Reduction (60%)</t>
  </si>
  <si>
    <t>Variance example (base fee only, does not include direct costs like attorney review time, etc)</t>
  </si>
  <si>
    <t>$9.6 million construction valuation example (base fee only, does not include electrical, fire, plan review, etc)</t>
  </si>
  <si>
    <t>3% of materials cost (materials = ~$5.7 million for $9.6 million total construction)</t>
  </si>
  <si>
    <t>20 + 4 (total cost ~$400,000/door)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</si>
</sst>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6" fontId="0" fillId="0" borderId="0" xfId="0" applyNumberFormat="1"/>
    <xf numFmtId="0" fontId="18" fillId="0" borderId="0" xfId="0" applyFont="1"/>
    <xf numFmtId="0" fontId="0" fillId="33" borderId="0" xfId="0" applyFill="1"/>
    <xf numFmtId="9" fontId="0" fillId="33" borderId="0" xfId="0" applyNumberFormat="1" applyFill="1"/>
    <xf numFmtId="6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2697-156C-A643-AF09-23398D540E46}">
  <dimension ref="A1:D53"/>
  <sheetViews>
    <sheetView tabSelected="1" workbookViewId="0">
      <selection activeCell="E18" sqref="E18"/>
    </sheetView>
  </sheetViews>
  <sheetFormatPr defaultColWidth="11" defaultRowHeight="15.75" x14ac:dyDescent="0.25"/>
  <cols>
    <col min="1" max="1" width="33.375" customWidth="1"/>
    <col min="3" max="3" width="22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>
        <v>20</v>
      </c>
      <c r="C2" t="s">
        <v>4</v>
      </c>
    </row>
    <row r="3" spans="1:3" x14ac:dyDescent="0.25">
      <c r="A3" s="3" t="s">
        <v>5</v>
      </c>
      <c r="B3" s="4">
        <v>0.2</v>
      </c>
      <c r="C3" s="3" t="s">
        <v>6</v>
      </c>
    </row>
    <row r="4" spans="1:3" x14ac:dyDescent="0.25">
      <c r="A4" t="s">
        <v>7</v>
      </c>
      <c r="B4">
        <v>4</v>
      </c>
      <c r="C4" t="s">
        <v>8</v>
      </c>
    </row>
    <row r="5" spans="1:3" x14ac:dyDescent="0.25">
      <c r="A5" t="s">
        <v>9</v>
      </c>
      <c r="B5">
        <v>24</v>
      </c>
      <c r="C5" t="s">
        <v>86</v>
      </c>
    </row>
    <row r="6" spans="1:3" x14ac:dyDescent="0.25">
      <c r="A6" s="3" t="s">
        <v>10</v>
      </c>
      <c r="B6" s="4">
        <v>0.5</v>
      </c>
      <c r="C6" s="3" t="s">
        <v>11</v>
      </c>
    </row>
    <row r="7" spans="1:3" x14ac:dyDescent="0.25">
      <c r="A7" t="s">
        <v>77</v>
      </c>
      <c r="B7">
        <v>7</v>
      </c>
      <c r="C7" t="s">
        <v>76</v>
      </c>
    </row>
    <row r="8" spans="1:3" x14ac:dyDescent="0.25">
      <c r="A8" t="s">
        <v>78</v>
      </c>
      <c r="B8">
        <v>17</v>
      </c>
      <c r="C8" t="s">
        <v>12</v>
      </c>
    </row>
    <row r="9" spans="1:3" x14ac:dyDescent="0.25">
      <c r="A9" t="s">
        <v>79</v>
      </c>
      <c r="B9" t="s">
        <v>81</v>
      </c>
      <c r="C9" t="s">
        <v>80</v>
      </c>
    </row>
    <row r="11" spans="1:3" x14ac:dyDescent="0.25">
      <c r="A11" t="s">
        <v>13</v>
      </c>
      <c r="C11" t="s">
        <v>73</v>
      </c>
    </row>
    <row r="12" spans="1:3" x14ac:dyDescent="0.25">
      <c r="A12" s="3" t="s">
        <v>72</v>
      </c>
      <c r="B12" s="5">
        <v>200</v>
      </c>
      <c r="C12" s="3" t="s">
        <v>83</v>
      </c>
    </row>
    <row r="13" spans="1:3" x14ac:dyDescent="0.25">
      <c r="A13" s="3" t="s">
        <v>71</v>
      </c>
      <c r="B13" s="5">
        <v>276509</v>
      </c>
      <c r="C13" s="3" t="s">
        <v>84</v>
      </c>
    </row>
    <row r="14" spans="1:3" x14ac:dyDescent="0.25">
      <c r="A14" s="3" t="s">
        <v>82</v>
      </c>
      <c r="B14" s="5">
        <v>200640</v>
      </c>
      <c r="C14" s="3" t="s">
        <v>75</v>
      </c>
    </row>
    <row r="15" spans="1:3" x14ac:dyDescent="0.25">
      <c r="A15" s="3" t="s">
        <v>14</v>
      </c>
      <c r="B15" s="5">
        <v>86400</v>
      </c>
      <c r="C15" s="3" t="s">
        <v>85</v>
      </c>
    </row>
    <row r="16" spans="1:3" x14ac:dyDescent="0.25">
      <c r="A16" s="3" t="s">
        <v>15</v>
      </c>
      <c r="B16" s="5">
        <v>0</v>
      </c>
      <c r="C16" s="3" t="s">
        <v>74</v>
      </c>
    </row>
    <row r="17" spans="1:3" x14ac:dyDescent="0.25">
      <c r="A17" t="s">
        <v>16</v>
      </c>
      <c r="B17" s="1">
        <f>SUM(B12:B16)</f>
        <v>563749</v>
      </c>
      <c r="C17" t="s">
        <v>17</v>
      </c>
    </row>
    <row r="19" spans="1:3" x14ac:dyDescent="0.25">
      <c r="A19" t="s">
        <v>18</v>
      </c>
    </row>
    <row r="20" spans="1:3" x14ac:dyDescent="0.25">
      <c r="A20" t="s">
        <v>19</v>
      </c>
      <c r="B20" s="1">
        <v>75000</v>
      </c>
      <c r="C20" t="s">
        <v>20</v>
      </c>
    </row>
    <row r="21" spans="1:3" x14ac:dyDescent="0.25">
      <c r="A21" t="s">
        <v>21</v>
      </c>
      <c r="B21" s="1">
        <v>90000</v>
      </c>
      <c r="C21" t="s">
        <v>22</v>
      </c>
    </row>
    <row r="22" spans="1:3" x14ac:dyDescent="0.25">
      <c r="A22" t="s">
        <v>23</v>
      </c>
      <c r="B22" s="1">
        <v>165000</v>
      </c>
      <c r="C22" t="s">
        <v>24</v>
      </c>
    </row>
    <row r="23" spans="1:3" x14ac:dyDescent="0.25">
      <c r="A23" t="s">
        <v>25</v>
      </c>
      <c r="B23" s="1">
        <v>660000</v>
      </c>
      <c r="C23" t="s">
        <v>26</v>
      </c>
    </row>
    <row r="25" spans="1:3" x14ac:dyDescent="0.25">
      <c r="A25" t="s">
        <v>27</v>
      </c>
    </row>
    <row r="26" spans="1:3" x14ac:dyDescent="0.25">
      <c r="A26" t="s">
        <v>28</v>
      </c>
      <c r="B26" s="1">
        <v>84400</v>
      </c>
    </row>
    <row r="27" spans="1:3" x14ac:dyDescent="0.25">
      <c r="A27" t="s">
        <v>29</v>
      </c>
      <c r="B27" s="1">
        <v>660000</v>
      </c>
    </row>
    <row r="28" spans="1:3" x14ac:dyDescent="0.25">
      <c r="A28" t="s">
        <v>30</v>
      </c>
      <c r="B28" s="1">
        <v>50000</v>
      </c>
      <c r="C28" t="s">
        <v>31</v>
      </c>
    </row>
    <row r="29" spans="1:3" x14ac:dyDescent="0.25">
      <c r="A29" t="s">
        <v>32</v>
      </c>
      <c r="B29" s="1">
        <v>794400</v>
      </c>
      <c r="C29" t="s">
        <v>33</v>
      </c>
    </row>
    <row r="31" spans="1:3" x14ac:dyDescent="0.25">
      <c r="A31" t="s">
        <v>34</v>
      </c>
    </row>
    <row r="32" spans="1:3" x14ac:dyDescent="0.25">
      <c r="A32" t="s">
        <v>35</v>
      </c>
      <c r="B32" s="1">
        <v>794400</v>
      </c>
      <c r="C32" t="s">
        <v>36</v>
      </c>
    </row>
    <row r="33" spans="1:3" x14ac:dyDescent="0.25">
      <c r="A33" t="s">
        <v>37</v>
      </c>
      <c r="B33">
        <v>2</v>
      </c>
      <c r="C33" t="s">
        <v>38</v>
      </c>
    </row>
    <row r="34" spans="1:3" x14ac:dyDescent="0.25">
      <c r="A34" t="s">
        <v>39</v>
      </c>
      <c r="B34" s="1">
        <v>397200</v>
      </c>
      <c r="C34" t="s">
        <v>40</v>
      </c>
    </row>
    <row r="35" spans="1:3" x14ac:dyDescent="0.25">
      <c r="A35" t="s">
        <v>41</v>
      </c>
      <c r="B35">
        <v>5</v>
      </c>
      <c r="C35" t="s">
        <v>42</v>
      </c>
    </row>
    <row r="36" spans="1:3" x14ac:dyDescent="0.25">
      <c r="A36" t="s">
        <v>43</v>
      </c>
      <c r="B36" s="1">
        <v>79440</v>
      </c>
      <c r="C36" t="s">
        <v>44</v>
      </c>
    </row>
    <row r="38" spans="1:3" x14ac:dyDescent="0.25">
      <c r="A38" t="s">
        <v>45</v>
      </c>
    </row>
    <row r="39" spans="1:3" x14ac:dyDescent="0.25">
      <c r="A39" t="s">
        <v>46</v>
      </c>
      <c r="B39">
        <v>4</v>
      </c>
      <c r="C39" t="s">
        <v>47</v>
      </c>
    </row>
    <row r="40" spans="1:3" x14ac:dyDescent="0.25">
      <c r="A40" t="s">
        <v>48</v>
      </c>
      <c r="B40" s="1">
        <v>3177600</v>
      </c>
      <c r="C40" t="s">
        <v>49</v>
      </c>
    </row>
    <row r="41" spans="1:3" x14ac:dyDescent="0.25">
      <c r="A41" t="s">
        <v>50</v>
      </c>
      <c r="B41">
        <v>2</v>
      </c>
      <c r="C41" t="s">
        <v>51</v>
      </c>
    </row>
    <row r="42" spans="1:3" x14ac:dyDescent="0.25">
      <c r="A42" t="s">
        <v>52</v>
      </c>
      <c r="B42" s="1">
        <v>1588800</v>
      </c>
      <c r="C42" t="s">
        <v>53</v>
      </c>
    </row>
    <row r="44" spans="1:3" x14ac:dyDescent="0.25">
      <c r="A44" t="s">
        <v>54</v>
      </c>
    </row>
    <row r="45" spans="1:3" x14ac:dyDescent="0.25">
      <c r="A45" t="s">
        <v>55</v>
      </c>
      <c r="B45" s="1">
        <v>794400</v>
      </c>
      <c r="C45" t="s">
        <v>56</v>
      </c>
    </row>
    <row r="46" spans="1:3" x14ac:dyDescent="0.25">
      <c r="A46" t="s">
        <v>57</v>
      </c>
      <c r="B46" s="1">
        <v>400</v>
      </c>
      <c r="C46" t="s">
        <v>58</v>
      </c>
    </row>
    <row r="47" spans="1:3" x14ac:dyDescent="0.25">
      <c r="A47" t="s">
        <v>59</v>
      </c>
      <c r="B47" s="1">
        <v>192000</v>
      </c>
      <c r="C47" t="s">
        <v>60</v>
      </c>
    </row>
    <row r="48" spans="1:3" x14ac:dyDescent="0.25">
      <c r="A48" t="s">
        <v>61</v>
      </c>
      <c r="B48" s="1">
        <v>602400</v>
      </c>
      <c r="C48" t="s">
        <v>62</v>
      </c>
    </row>
    <row r="50" spans="1:4" x14ac:dyDescent="0.25">
      <c r="A50" t="s">
        <v>63</v>
      </c>
    </row>
    <row r="51" spans="1:4" x14ac:dyDescent="0.25">
      <c r="A51" t="s">
        <v>64</v>
      </c>
      <c r="B51" s="1">
        <v>250000</v>
      </c>
      <c r="C51" t="s">
        <v>65</v>
      </c>
    </row>
    <row r="52" spans="1:4" x14ac:dyDescent="0.25">
      <c r="A52" t="s">
        <v>66</v>
      </c>
      <c r="B52">
        <v>400</v>
      </c>
      <c r="C52">
        <v>3.18</v>
      </c>
      <c r="D52" t="s">
        <v>67</v>
      </c>
    </row>
    <row r="53" spans="1:4" x14ac:dyDescent="0.25">
      <c r="A53" t="s">
        <v>68</v>
      </c>
      <c r="B53" t="s">
        <v>69</v>
      </c>
      <c r="C53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density-bonus-calculations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Brown McClain</dc:creator>
  <cp:lastModifiedBy>Raini Ott</cp:lastModifiedBy>
  <dcterms:created xsi:type="dcterms:W3CDTF">2025-09-04T03:48:47Z</dcterms:created>
  <dcterms:modified xsi:type="dcterms:W3CDTF">2025-11-21T19:32:44Z</dcterms:modified>
</cp:coreProperties>
</file>